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ummary" sheetId="2" r:id="rId6"/>
    <sheet state="visible" name="Capacity" sheetId="3" r:id="rId7"/>
    <sheet state="visible" name="Tasks" sheetId="4" r:id="rId8"/>
    <sheet state="visible" name="Allocation" sheetId="5" r:id="rId9"/>
    <sheet state="visible" name="Checks" sheetId="6" r:id="rId10"/>
  </sheets>
  <definedNames/>
  <calcPr/>
</workbook>
</file>

<file path=xl/sharedStrings.xml><?xml version="1.0" encoding="utf-8"?>
<sst xmlns="http://schemas.openxmlformats.org/spreadsheetml/2006/main" count="147" uniqueCount="100">
  <si>
    <t>FCC-Style Resource Planning &amp; Tracking Model</t>
  </si>
  <si>
    <t>Self-initiated Excel exercise by Priscilla Judi, 2026. ALL DATA IS FICTIONAL.</t>
  </si>
  <si>
    <t>Work packages are loosely themed on the public Future Circular Collider feasibility study areas; teams, effort and dates are invented for illustration. Not CERN data and not affiliated with CERN.</t>
  </si>
  <si>
    <t>How it works</t>
  </si>
  <si>
    <t>1. Capacity: teams and monthly capacity in person-months (blue = editable input).</t>
  </si>
  <si>
    <t>2. Tasks: work packages with owner team, start/end month (1-12) and total effort. Monthly load is calculated.</t>
  </si>
  <si>
    <t>3. Allocation: SUMIFS spreads each task's load across its months by team; utilisation = load / capacity.</t>
  </si>
  <si>
    <t xml:space="preserve">   Red &gt; 100% (over-allocated), amber 85-100% (near limit), green &lt; 85%.</t>
  </si>
  <si>
    <t>4. Checks: data-quality tests (missing owner, End before Start, duplicate IDs, months out of range, unknown team).</t>
  </si>
  <si>
    <t>5. Summary: headline metrics and peak utilisation chart by team.</t>
  </si>
  <si>
    <t>Tools: Excel / Google Sheets - SUMIFS, COUNTIFS, SUMPRODUCT, INDEX/MATCH, conditional formatting, data validation, charts.</t>
  </si>
  <si>
    <t>Team</t>
  </si>
  <si>
    <t>Headcount</t>
  </si>
  <si>
    <t>Capacity (person-months / month)</t>
  </si>
  <si>
    <t>Civil Engineering &amp; Siting</t>
  </si>
  <si>
    <t>Task ID</t>
  </si>
  <si>
    <t>Work package</t>
  </si>
  <si>
    <t>Start month</t>
  </si>
  <si>
    <t>End month</t>
  </si>
  <si>
    <t>Total effort (person-months)</t>
  </si>
  <si>
    <t>Monthly load</t>
  </si>
  <si>
    <t>Status</t>
  </si>
  <si>
    <t>WP-01</t>
  </si>
  <si>
    <t>Geology &amp; tunnel siting review</t>
  </si>
  <si>
    <t>Monthly load by team (person-months)</t>
  </si>
  <si>
    <t>M1</t>
  </si>
  <si>
    <t>M2</t>
  </si>
  <si>
    <t>M3</t>
  </si>
  <si>
    <t>M4</t>
  </si>
  <si>
    <t>M5</t>
  </si>
  <si>
    <t>Accelerator Physics</t>
  </si>
  <si>
    <t>M6</t>
  </si>
  <si>
    <t>M7</t>
  </si>
  <si>
    <t>M8</t>
  </si>
  <si>
    <t>Magnets &amp; Cryogenics</t>
  </si>
  <si>
    <t>M9</t>
  </si>
  <si>
    <t>M10</t>
  </si>
  <si>
    <t>Detectors &amp; Experiments</t>
  </si>
  <si>
    <t>M11</t>
  </si>
  <si>
    <t>Planning &amp; Resources Office</t>
  </si>
  <si>
    <t>M12</t>
  </si>
  <si>
    <t>(month number)</t>
  </si>
  <si>
    <t>Capacity assumes 1.0 person-month per head per month (no leave/overhead). Edit headcount in blue.</t>
  </si>
  <si>
    <t>Complete</t>
  </si>
  <si>
    <t>WP-02</t>
  </si>
  <si>
    <t>Environmental baseline study</t>
  </si>
  <si>
    <t>In progress</t>
  </si>
  <si>
    <t>WP-03</t>
  </si>
  <si>
    <t>Surface sites &amp; access shaft layout</t>
  </si>
  <si>
    <t>WP-04</t>
  </si>
  <si>
    <t>Civil cost estimate inputs</t>
  </si>
  <si>
    <t>Not started</t>
  </si>
  <si>
    <t>WP-05</t>
  </si>
  <si>
    <t>Collider lattice &amp; optics design</t>
  </si>
  <si>
    <t>WP-06</t>
  </si>
  <si>
    <t>Beam dynamics &amp; collimation studies</t>
  </si>
  <si>
    <t>WP-07</t>
  </si>
  <si>
    <t>Injector chain requirements</t>
  </si>
  <si>
    <t>WP-08</t>
  </si>
  <si>
    <t>Superconducting magnet R&amp;D review</t>
  </si>
  <si>
    <t>WP-09</t>
  </si>
  <si>
    <t>Cryogenic system layout</t>
  </si>
  <si>
    <t>WP-10</t>
  </si>
  <si>
    <t>Vacuum system specification</t>
  </si>
  <si>
    <t>WP-11</t>
  </si>
  <si>
    <t>Detector concept requirements</t>
  </si>
  <si>
    <t>WP-12</t>
  </si>
  <si>
    <t>Physics case &amp; performance studies</t>
  </si>
  <si>
    <t>WP-13</t>
  </si>
  <si>
    <t>Stakeholder requirements gathering</t>
  </si>
  <si>
    <t>Summary - Resource Utilisation</t>
  </si>
  <si>
    <t>WP-14</t>
  </si>
  <si>
    <t>Master schedule baseline &amp; milestones</t>
  </si>
  <si>
    <t>Work packages</t>
  </si>
  <si>
    <t>WP-15</t>
  </si>
  <si>
    <t>Resource-loaded plan &amp; tracking tool</t>
  </si>
  <si>
    <t>WP-16</t>
  </si>
  <si>
    <t>Data quality &amp; plan-update process</t>
  </si>
  <si>
    <t>Total planned effort (person-months)</t>
  </si>
  <si>
    <t>WP-17</t>
  </si>
  <si>
    <t>Risk register &amp; contingency review</t>
  </si>
  <si>
    <t>Team-months over 100% capacity</t>
  </si>
  <si>
    <t>Team-months at 85-100% capacity</t>
  </si>
  <si>
    <t>Team with highest peak utilisation</t>
  </si>
  <si>
    <t>Highest peak utilisation</t>
  </si>
  <si>
    <t>Data-quality check</t>
  </si>
  <si>
    <t>Issues found</t>
  </si>
  <si>
    <t>Result</t>
  </si>
  <si>
    <t>Tasks with missing team</t>
  </si>
  <si>
    <t>Data-quality checks passed</t>
  </si>
  <si>
    <t>Peak utilisation</t>
  </si>
  <si>
    <t>Tasks with End before Start</t>
  </si>
  <si>
    <t>Duplicate Task IDs</t>
  </si>
  <si>
    <t>Months outside 1-12</t>
  </si>
  <si>
    <t>Team not in Capacity list</t>
  </si>
  <si>
    <t>Tasks with missing effort</t>
  </si>
  <si>
    <t>Utilisation (load / capacity)</t>
  </si>
  <si>
    <t>Peak</t>
  </si>
  <si>
    <t>Months &gt;100%</t>
  </si>
  <si>
    <t>Months 85-100%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</si>
</sst>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1.0"/>
      <color theme="1"/>
      <name val="Calibri"/>
      <scheme val="minor"/>
    </font>
    <font>
      <b/>
      <sz val="14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b/>
      <color rgb="FFFFFFFF"/>
      <name val="Arial"/>
    </font>
    <font>
      <color rgb="FF0000FF"/>
      <name val="Arial"/>
    </font>
    <font>
      <b/>
      <sz val="12.0"/>
      <color theme="1"/>
      <name val="Arial"/>
    </font>
    <font>
      <color theme="1"/>
      <name val="Arial"/>
    </font>
    <font>
      <sz val="9.0"/>
      <color rgb="FF808080"/>
      <name val="Arial"/>
    </font>
    <font>
      <i/>
      <color theme="1"/>
      <name val="Arial"/>
    </font>
    <font>
      <b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0" fontId="5" numFmtId="0" xfId="0" applyBorder="1" applyFont="1"/>
    <xf borderId="0" fillId="0" fontId="6" numFmtId="0" xfId="0" applyFont="1"/>
    <xf borderId="1" fillId="0" fontId="7" numFmtId="0" xfId="0" applyBorder="1" applyFont="1"/>
    <xf borderId="1" fillId="0" fontId="7" numFmtId="2" xfId="0" applyBorder="1" applyFont="1" applyNumberFormat="1"/>
    <xf borderId="0" fillId="0" fontId="8" numFmtId="0" xfId="0" applyFont="1"/>
    <xf borderId="0" fillId="0" fontId="9" numFmtId="0" xfId="0" applyFont="1"/>
    <xf borderId="0" fillId="0" fontId="7" numFmtId="0" xfId="0" applyFont="1"/>
    <xf borderId="1" fillId="0" fontId="7" numFmtId="164" xfId="0" applyBorder="1" applyFont="1" applyNumberFormat="1"/>
    <xf borderId="0" fillId="0" fontId="1" numFmtId="0" xfId="0" applyFont="1"/>
    <xf borderId="0" fillId="0" fontId="10" numFmtId="0" xfId="0" applyAlignment="1" applyFont="1">
      <alignment horizontal="left"/>
    </xf>
    <xf borderId="0" fillId="0" fontId="11" numFmtId="0" xfId="0" applyFont="1"/>
    <xf borderId="0" fillId="0" fontId="10" numFmtId="9" xfId="0" applyAlignment="1" applyFont="1" applyNumberFormat="1">
      <alignment horizontal="left"/>
    </xf>
    <xf borderId="1" fillId="0" fontId="10" numFmtId="0" xfId="0" applyBorder="1" applyFont="1"/>
    <xf borderId="0" fillId="0" fontId="7" numFmtId="9" xfId="0" applyFont="1" applyNumberFormat="1"/>
    <xf borderId="1" fillId="0" fontId="7" numFmtId="9" xfId="0" applyBorder="1" applyFont="1" applyNumberFormat="1"/>
    <xf borderId="1" fillId="0" fontId="10" numFmtId="9" xfId="0" applyBorder="1" applyFont="1" applyNumberFormat="1"/>
  </cellXfs>
  <cellStyles count="1">
    <cellStyle xfId="0" name="Normal" builtinId="0"/>
  </cellStyles>
  <dxfs count="4">
    <dxf>
      <font/>
      <fill>
        <patternFill patternType="solid">
          <fgColor rgb="FFC6E0B4"/>
          <bgColor rgb="FFC6E0B4"/>
        </patternFill>
      </fill>
      <border/>
    </dxf>
    <dxf>
      <font/>
      <fill>
        <patternFill patternType="solid">
          <fgColor rgb="FFF8CBAD"/>
          <bgColor rgb="FFF8CBAD"/>
        </patternFill>
      </fill>
      <border/>
    </dxf>
    <dxf>
      <font>
        <b/>
        <color rgb="FF9C0006"/>
      </font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Peak utilisation by team (100% = capacity)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Summary!$B$12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Summary!$A$13:$A$17</c:f>
            </c:strRef>
          </c:cat>
          <c:val>
            <c:numRef>
              <c:f>Summary!$B$13:$B$17</c:f>
              <c:numCache/>
            </c:numRef>
          </c:val>
        </c:ser>
        <c:axId val="463143592"/>
        <c:axId val="48252750"/>
      </c:barChart>
      <c:catAx>
        <c:axId val="463143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252750"/>
      </c:catAx>
      <c:valAx>
        <c:axId val="482527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Utilisation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3143592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7191375" cy="3238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/>
    </row>
    <row r="5">
      <c r="A5" s="3" t="s">
        <v>3</v>
      </c>
    </row>
    <row r="6">
      <c r="A6" s="2" t="s">
        <v>4</v>
      </c>
    </row>
    <row r="7">
      <c r="A7" s="2" t="s">
        <v>5</v>
      </c>
    </row>
    <row r="8">
      <c r="A8" s="2" t="s">
        <v>6</v>
      </c>
    </row>
    <row r="9">
      <c r="A9" s="2" t="s">
        <v>7</v>
      </c>
    </row>
    <row r="10">
      <c r="A10" s="2" t="s">
        <v>8</v>
      </c>
    </row>
    <row r="11">
      <c r="A11" s="2" t="s">
        <v>9</v>
      </c>
    </row>
    <row r="12">
      <c r="A12" s="2"/>
    </row>
    <row r="13">
      <c r="A13" s="2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30.0"/>
    <col customWidth="1" min="3" max="26" width="8.71"/>
  </cols>
  <sheetData>
    <row r="1">
      <c r="A1" s="13" t="s">
        <v>70</v>
      </c>
    </row>
    <row r="3">
      <c r="A3" s="11" t="s">
        <v>73</v>
      </c>
      <c r="B3" s="14">
        <f>COUNTA(Tasks!A2:A28)</f>
        <v>17</v>
      </c>
    </row>
    <row r="4">
      <c r="A4" s="11" t="s">
        <v>78</v>
      </c>
      <c r="B4" s="14">
        <f>SUM(Tasks!F2:F28)</f>
        <v>340</v>
      </c>
    </row>
    <row r="5">
      <c r="A5" s="11" t="s">
        <v>81</v>
      </c>
      <c r="B5" s="14">
        <f>SUM(Allocation!O12:O16)</f>
        <v>16</v>
      </c>
    </row>
    <row r="6">
      <c r="A6" s="11" t="s">
        <v>82</v>
      </c>
      <c r="B6" s="14">
        <f>SUM(Allocation!P12:P16)</f>
        <v>10</v>
      </c>
    </row>
    <row r="7">
      <c r="A7" s="11" t="s">
        <v>83</v>
      </c>
      <c r="B7" s="14" t="str">
        <f t="array" ref="B7">INDEX(Allocation!A12:A16,MATCH(MAX(Allocation!N12:N16),Allocation!N12:N16,0))</f>
        <v>Detectors &amp; Experiments</v>
      </c>
    </row>
    <row r="8">
      <c r="A8" s="11" t="s">
        <v>84</v>
      </c>
      <c r="B8" s="16">
        <f>MAX(Allocation!N12:N16)</f>
        <v>1.333333333</v>
      </c>
    </row>
    <row r="9">
      <c r="A9" s="11" t="s">
        <v>89</v>
      </c>
      <c r="B9" s="14" t="str">
        <f>COUNTIF(Checks!C2:C7,"OK")&amp;" of "&amp;COUNTA(Checks!C2:C7)</f>
        <v>6 of 6</v>
      </c>
    </row>
    <row r="12">
      <c r="A12" s="4" t="s">
        <v>11</v>
      </c>
      <c r="B12" s="4" t="s">
        <v>90</v>
      </c>
    </row>
    <row r="13">
      <c r="A13" s="11" t="str">
        <f>Allocation!A12</f>
        <v>Civil Engineering &amp; Siting</v>
      </c>
      <c r="B13" s="18">
        <f>Allocation!N12</f>
        <v>1.1</v>
      </c>
    </row>
    <row r="14">
      <c r="A14" s="11" t="str">
        <f>Allocation!A13</f>
        <v>Accelerator Physics</v>
      </c>
      <c r="B14" s="18">
        <f>Allocation!N13</f>
        <v>1.125</v>
      </c>
    </row>
    <row r="15">
      <c r="A15" s="11" t="str">
        <f>Allocation!A14</f>
        <v>Magnets &amp; Cryogenics</v>
      </c>
      <c r="B15" s="18">
        <f>Allocation!N14</f>
        <v>1.285714286</v>
      </c>
    </row>
    <row r="16">
      <c r="A16" s="11" t="str">
        <f>Allocation!A15</f>
        <v>Detectors &amp; Experiments</v>
      </c>
      <c r="B16" s="18">
        <f>Allocation!N15</f>
        <v>1.333333333</v>
      </c>
    </row>
    <row r="17">
      <c r="A17" s="11" t="str">
        <f>Allocation!A16</f>
        <v>Planning &amp; Resources Office</v>
      </c>
      <c r="B17" s="18">
        <f>Allocation!N16</f>
        <v>1.2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4.0"/>
    <col customWidth="1" min="3" max="3" width="30.0"/>
    <col customWidth="1" min="4" max="26" width="8.71"/>
  </cols>
  <sheetData>
    <row r="1">
      <c r="A1" s="4" t="s">
        <v>11</v>
      </c>
      <c r="B1" s="4" t="s">
        <v>12</v>
      </c>
      <c r="C1" s="4" t="s">
        <v>13</v>
      </c>
    </row>
    <row r="2">
      <c r="A2" s="5" t="s">
        <v>14</v>
      </c>
      <c r="B2" s="5">
        <v>10.0</v>
      </c>
      <c r="C2" s="7">
        <f t="shared" ref="C2:C6" si="1">B2*1</f>
        <v>10</v>
      </c>
    </row>
    <row r="3">
      <c r="A3" s="5" t="s">
        <v>30</v>
      </c>
      <c r="B3" s="5">
        <v>8.0</v>
      </c>
      <c r="C3" s="7">
        <f t="shared" si="1"/>
        <v>8</v>
      </c>
    </row>
    <row r="4">
      <c r="A4" s="5" t="s">
        <v>34</v>
      </c>
      <c r="B4" s="5">
        <v>7.0</v>
      </c>
      <c r="C4" s="7">
        <f t="shared" si="1"/>
        <v>7</v>
      </c>
    </row>
    <row r="5">
      <c r="A5" s="5" t="s">
        <v>37</v>
      </c>
      <c r="B5" s="5">
        <v>6.0</v>
      </c>
      <c r="C5" s="7">
        <f t="shared" si="1"/>
        <v>6</v>
      </c>
    </row>
    <row r="6">
      <c r="A6" s="5" t="s">
        <v>39</v>
      </c>
      <c r="B6" s="5">
        <v>5.0</v>
      </c>
      <c r="C6" s="7">
        <f t="shared" si="1"/>
        <v>5</v>
      </c>
    </row>
    <row r="8">
      <c r="A8" s="10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40.0"/>
    <col customWidth="1" min="3" max="3" width="32.0"/>
    <col customWidth="1" min="4" max="5" width="12.0"/>
    <col customWidth="1" min="6" max="6" width="18.0"/>
    <col customWidth="1" min="7" max="8" width="14.0"/>
    <col customWidth="1" min="9" max="26" width="8.71"/>
  </cols>
  <sheetData>
    <row r="1">
      <c r="A1" s="4" t="s">
        <v>15</v>
      </c>
      <c r="B1" s="4" t="s">
        <v>16</v>
      </c>
      <c r="C1" s="4" t="s">
        <v>11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</row>
    <row r="2">
      <c r="A2" s="5" t="s">
        <v>22</v>
      </c>
      <c r="B2" s="5" t="s">
        <v>23</v>
      </c>
      <c r="C2" s="5" t="s">
        <v>14</v>
      </c>
      <c r="D2" s="5">
        <v>1.0</v>
      </c>
      <c r="E2" s="5">
        <v>4.0</v>
      </c>
      <c r="F2" s="5">
        <v>20.0</v>
      </c>
      <c r="G2" s="8">
        <f t="shared" ref="G2:G18" si="1">IF(AND(ISNUMBER(D2),ISNUMBER(E2),E2&gt;=D2),F2/(E2-D2+1),0)</f>
        <v>5</v>
      </c>
      <c r="H2" s="5" t="s">
        <v>43</v>
      </c>
    </row>
    <row r="3">
      <c r="A3" s="5" t="s">
        <v>44</v>
      </c>
      <c r="B3" s="5" t="s">
        <v>45</v>
      </c>
      <c r="C3" s="5" t="s">
        <v>14</v>
      </c>
      <c r="D3" s="5">
        <v>3.0</v>
      </c>
      <c r="E3" s="5">
        <v>8.0</v>
      </c>
      <c r="F3" s="5">
        <v>24.0</v>
      </c>
      <c r="G3" s="8">
        <f t="shared" si="1"/>
        <v>4</v>
      </c>
      <c r="H3" s="5" t="s">
        <v>46</v>
      </c>
    </row>
    <row r="4">
      <c r="A4" s="5" t="s">
        <v>47</v>
      </c>
      <c r="B4" s="5" t="s">
        <v>48</v>
      </c>
      <c r="C4" s="5" t="s">
        <v>14</v>
      </c>
      <c r="D4" s="5">
        <v>5.0</v>
      </c>
      <c r="E4" s="5">
        <v>10.0</v>
      </c>
      <c r="F4" s="5">
        <v>30.0</v>
      </c>
      <c r="G4" s="8">
        <f t="shared" si="1"/>
        <v>5</v>
      </c>
      <c r="H4" s="5" t="s">
        <v>46</v>
      </c>
    </row>
    <row r="5">
      <c r="A5" s="5" t="s">
        <v>49</v>
      </c>
      <c r="B5" s="5" t="s">
        <v>50</v>
      </c>
      <c r="C5" s="5" t="s">
        <v>14</v>
      </c>
      <c r="D5" s="5">
        <v>7.0</v>
      </c>
      <c r="E5" s="5">
        <v>9.0</v>
      </c>
      <c r="F5" s="5">
        <v>6.0</v>
      </c>
      <c r="G5" s="8">
        <f t="shared" si="1"/>
        <v>2</v>
      </c>
      <c r="H5" s="5" t="s">
        <v>51</v>
      </c>
    </row>
    <row r="6">
      <c r="A6" s="5" t="s">
        <v>52</v>
      </c>
      <c r="B6" s="5" t="s">
        <v>53</v>
      </c>
      <c r="C6" s="5" t="s">
        <v>30</v>
      </c>
      <c r="D6" s="5">
        <v>1.0</v>
      </c>
      <c r="E6" s="5">
        <v>6.0</v>
      </c>
      <c r="F6" s="5">
        <v>30.0</v>
      </c>
      <c r="G6" s="8">
        <f t="shared" si="1"/>
        <v>5</v>
      </c>
      <c r="H6" s="5" t="s">
        <v>46</v>
      </c>
    </row>
    <row r="7">
      <c r="A7" s="5" t="s">
        <v>54</v>
      </c>
      <c r="B7" s="5" t="s">
        <v>55</v>
      </c>
      <c r="C7" s="5" t="s">
        <v>30</v>
      </c>
      <c r="D7" s="5">
        <v>4.0</v>
      </c>
      <c r="E7" s="5">
        <v>9.0</v>
      </c>
      <c r="F7" s="5">
        <v>24.0</v>
      </c>
      <c r="G7" s="8">
        <f t="shared" si="1"/>
        <v>4</v>
      </c>
      <c r="H7" s="5" t="s">
        <v>46</v>
      </c>
    </row>
    <row r="8">
      <c r="A8" s="5" t="s">
        <v>56</v>
      </c>
      <c r="B8" s="5" t="s">
        <v>57</v>
      </c>
      <c r="C8" s="5" t="s">
        <v>30</v>
      </c>
      <c r="D8" s="5">
        <v>7.0</v>
      </c>
      <c r="E8" s="5">
        <v>12.0</v>
      </c>
      <c r="F8" s="5">
        <v>18.0</v>
      </c>
      <c r="G8" s="8">
        <f t="shared" si="1"/>
        <v>3</v>
      </c>
      <c r="H8" s="5" t="s">
        <v>51</v>
      </c>
    </row>
    <row r="9">
      <c r="A9" s="5" t="s">
        <v>58</v>
      </c>
      <c r="B9" s="5" t="s">
        <v>59</v>
      </c>
      <c r="C9" s="5" t="s">
        <v>34</v>
      </c>
      <c r="D9" s="5">
        <v>1.0</v>
      </c>
      <c r="E9" s="5">
        <v>8.0</v>
      </c>
      <c r="F9" s="5">
        <v>40.0</v>
      </c>
      <c r="G9" s="8">
        <f t="shared" si="1"/>
        <v>5</v>
      </c>
      <c r="H9" s="5" t="s">
        <v>46</v>
      </c>
    </row>
    <row r="10">
      <c r="A10" s="5" t="s">
        <v>60</v>
      </c>
      <c r="B10" s="5" t="s">
        <v>61</v>
      </c>
      <c r="C10" s="5" t="s">
        <v>34</v>
      </c>
      <c r="D10" s="5">
        <v>5.0</v>
      </c>
      <c r="E10" s="5">
        <v>11.0</v>
      </c>
      <c r="F10" s="5">
        <v>28.0</v>
      </c>
      <c r="G10" s="8">
        <f t="shared" si="1"/>
        <v>4</v>
      </c>
      <c r="H10" s="5" t="s">
        <v>51</v>
      </c>
    </row>
    <row r="11">
      <c r="A11" s="5" t="s">
        <v>62</v>
      </c>
      <c r="B11" s="5" t="s">
        <v>63</v>
      </c>
      <c r="C11" s="5" t="s">
        <v>34</v>
      </c>
      <c r="D11" s="5">
        <v>9.0</v>
      </c>
      <c r="E11" s="5">
        <v>12.0</v>
      </c>
      <c r="F11" s="5">
        <v>16.0</v>
      </c>
      <c r="G11" s="8">
        <f t="shared" si="1"/>
        <v>4</v>
      </c>
      <c r="H11" s="5" t="s">
        <v>51</v>
      </c>
    </row>
    <row r="12">
      <c r="A12" s="5" t="s">
        <v>64</v>
      </c>
      <c r="B12" s="5" t="s">
        <v>65</v>
      </c>
      <c r="C12" s="5" t="s">
        <v>37</v>
      </c>
      <c r="D12" s="5">
        <v>2.0</v>
      </c>
      <c r="E12" s="5">
        <v>7.0</v>
      </c>
      <c r="F12" s="5">
        <v>24.0</v>
      </c>
      <c r="G12" s="8">
        <f t="shared" si="1"/>
        <v>4</v>
      </c>
      <c r="H12" s="5" t="s">
        <v>46</v>
      </c>
    </row>
    <row r="13">
      <c r="A13" s="5" t="s">
        <v>66</v>
      </c>
      <c r="B13" s="5" t="s">
        <v>67</v>
      </c>
      <c r="C13" s="5" t="s">
        <v>37</v>
      </c>
      <c r="D13" s="5">
        <v>6.0</v>
      </c>
      <c r="E13" s="5">
        <v>12.0</v>
      </c>
      <c r="F13" s="5">
        <v>28.0</v>
      </c>
      <c r="G13" s="8">
        <f t="shared" si="1"/>
        <v>4</v>
      </c>
      <c r="H13" s="5" t="s">
        <v>51</v>
      </c>
    </row>
    <row r="14">
      <c r="A14" s="5" t="s">
        <v>68</v>
      </c>
      <c r="B14" s="5" t="s">
        <v>69</v>
      </c>
      <c r="C14" s="5" t="s">
        <v>39</v>
      </c>
      <c r="D14" s="5">
        <v>1.0</v>
      </c>
      <c r="E14" s="5">
        <v>3.0</v>
      </c>
      <c r="F14" s="5">
        <v>9.0</v>
      </c>
      <c r="G14" s="8">
        <f t="shared" si="1"/>
        <v>3</v>
      </c>
      <c r="H14" s="5" t="s">
        <v>43</v>
      </c>
    </row>
    <row r="15">
      <c r="A15" s="5" t="s">
        <v>71</v>
      </c>
      <c r="B15" s="5" t="s">
        <v>72</v>
      </c>
      <c r="C15" s="5" t="s">
        <v>39</v>
      </c>
      <c r="D15" s="5">
        <v>2.0</v>
      </c>
      <c r="E15" s="5">
        <v>6.0</v>
      </c>
      <c r="F15" s="5">
        <v>15.0</v>
      </c>
      <c r="G15" s="8">
        <f t="shared" si="1"/>
        <v>3</v>
      </c>
      <c r="H15" s="5" t="s">
        <v>46</v>
      </c>
    </row>
    <row r="16">
      <c r="A16" s="5" t="s">
        <v>74</v>
      </c>
      <c r="B16" s="5" t="s">
        <v>75</v>
      </c>
      <c r="C16" s="5" t="s">
        <v>39</v>
      </c>
      <c r="D16" s="5">
        <v>4.0</v>
      </c>
      <c r="E16" s="5">
        <v>9.0</v>
      </c>
      <c r="F16" s="5">
        <v>12.0</v>
      </c>
      <c r="G16" s="8">
        <f t="shared" si="1"/>
        <v>2</v>
      </c>
      <c r="H16" s="5" t="s">
        <v>46</v>
      </c>
    </row>
    <row r="17">
      <c r="A17" s="5" t="s">
        <v>76</v>
      </c>
      <c r="B17" s="5" t="s">
        <v>77</v>
      </c>
      <c r="C17" s="5" t="s">
        <v>39</v>
      </c>
      <c r="D17" s="5">
        <v>8.0</v>
      </c>
      <c r="E17" s="5">
        <v>12.0</v>
      </c>
      <c r="F17" s="5">
        <v>10.0</v>
      </c>
      <c r="G17" s="8">
        <f t="shared" si="1"/>
        <v>2</v>
      </c>
      <c r="H17" s="5" t="s">
        <v>51</v>
      </c>
    </row>
    <row r="18">
      <c r="A18" s="5" t="s">
        <v>79</v>
      </c>
      <c r="B18" s="5" t="s">
        <v>80</v>
      </c>
      <c r="C18" s="5" t="s">
        <v>39</v>
      </c>
      <c r="D18" s="5">
        <v>10.0</v>
      </c>
      <c r="E18" s="5">
        <v>12.0</v>
      </c>
      <c r="F18" s="5">
        <v>6.0</v>
      </c>
      <c r="G18" s="8">
        <f t="shared" si="1"/>
        <v>2</v>
      </c>
      <c r="H18" s="5" t="s">
        <v>51</v>
      </c>
    </row>
    <row r="19">
      <c r="D19" s="15"/>
      <c r="E19" s="15"/>
      <c r="H19" s="15"/>
    </row>
    <row r="20">
      <c r="D20" s="15"/>
      <c r="E20" s="15"/>
      <c r="H20" s="15"/>
    </row>
    <row r="21" ht="15.75" customHeight="1">
      <c r="D21" s="15"/>
      <c r="E21" s="15"/>
      <c r="H21" s="15"/>
    </row>
    <row r="22" ht="15.75" customHeight="1">
      <c r="D22" s="15"/>
      <c r="E22" s="15"/>
      <c r="H22" s="15"/>
    </row>
    <row r="23" ht="15.75" customHeight="1">
      <c r="D23" s="15"/>
      <c r="E23" s="15"/>
      <c r="H23" s="15"/>
    </row>
    <row r="24" ht="15.75" customHeight="1">
      <c r="D24" s="15"/>
      <c r="E24" s="15"/>
      <c r="H24" s="15"/>
    </row>
    <row r="25" ht="15.75" customHeight="1">
      <c r="D25" s="15"/>
      <c r="E25" s="15"/>
      <c r="H25" s="15"/>
    </row>
    <row r="26" ht="15.75" customHeight="1">
      <c r="D26" s="15"/>
      <c r="E26" s="15"/>
      <c r="H26" s="15"/>
    </row>
    <row r="27" ht="15.75" customHeight="1">
      <c r="D27" s="15"/>
      <c r="E27" s="15"/>
      <c r="H27" s="15"/>
    </row>
    <row r="28" ht="15.75" customHeight="1">
      <c r="D28" s="15"/>
      <c r="E28" s="15"/>
      <c r="H28" s="15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H2:H28">
      <formula1>"Not started,In progress,Complete"</formula1>
    </dataValidation>
    <dataValidation type="decimal" allowBlank="1" sqref="D2:E28">
      <formula1>1.0</formula1>
      <formula2>12.0</formula2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14" width="9.0"/>
    <col customWidth="1" min="15" max="15" width="14.0"/>
    <col customWidth="1" min="16" max="16" width="16.0"/>
    <col customWidth="1" min="17" max="26" width="8.71"/>
  </cols>
  <sheetData>
    <row r="1">
      <c r="A1" s="6" t="s">
        <v>24</v>
      </c>
    </row>
    <row r="2">
      <c r="A2" s="4" t="s">
        <v>11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31</v>
      </c>
      <c r="H2" s="4" t="s">
        <v>32</v>
      </c>
      <c r="I2" s="4" t="s">
        <v>33</v>
      </c>
      <c r="J2" s="4" t="s">
        <v>35</v>
      </c>
      <c r="K2" s="4" t="s">
        <v>36</v>
      </c>
      <c r="L2" s="4" t="s">
        <v>38</v>
      </c>
      <c r="M2" s="4" t="s">
        <v>40</v>
      </c>
    </row>
    <row r="3">
      <c r="A3" s="9" t="s">
        <v>41</v>
      </c>
      <c r="B3" s="9">
        <v>1.0</v>
      </c>
      <c r="C3" s="9">
        <v>2.0</v>
      </c>
      <c r="D3" s="9">
        <v>3.0</v>
      </c>
      <c r="E3" s="9">
        <v>4.0</v>
      </c>
      <c r="F3" s="9">
        <v>5.0</v>
      </c>
      <c r="G3" s="9">
        <v>6.0</v>
      </c>
      <c r="H3" s="9">
        <v>7.0</v>
      </c>
      <c r="I3" s="9">
        <v>8.0</v>
      </c>
      <c r="J3" s="9">
        <v>9.0</v>
      </c>
      <c r="K3" s="9">
        <v>10.0</v>
      </c>
      <c r="L3" s="9">
        <v>11.0</v>
      </c>
      <c r="M3" s="9">
        <v>12.0</v>
      </c>
    </row>
    <row r="4">
      <c r="A4" s="11" t="str">
        <f>Capacity!A2</f>
        <v>Civil Engineering &amp; Siting</v>
      </c>
      <c r="B4" s="12">
        <f>SUMIFS(Tasks!$G$2:$G$28,Tasks!$C$2:$C$28,$A4,Tasks!$D$2:$D$28,"&lt;="&amp;B$3,Tasks!$E$2:$E$28,"&gt;="&amp;B$3)</f>
        <v>5</v>
      </c>
      <c r="C4" s="12">
        <f>SUMIFS(Tasks!$G$2:$G$28,Tasks!$C$2:$C$28,$A4,Tasks!$D$2:$D$28,"&lt;="&amp;C$3,Tasks!$E$2:$E$28,"&gt;="&amp;C$3)</f>
        <v>5</v>
      </c>
      <c r="D4" s="12">
        <f>SUMIFS(Tasks!$G$2:$G$28,Tasks!$C$2:$C$28,$A4,Tasks!$D$2:$D$28,"&lt;="&amp;D$3,Tasks!$E$2:$E$28,"&gt;="&amp;D$3)</f>
        <v>9</v>
      </c>
      <c r="E4" s="12">
        <f>SUMIFS(Tasks!$G$2:$G$28,Tasks!$C$2:$C$28,$A4,Tasks!$D$2:$D$28,"&lt;="&amp;E$3,Tasks!$E$2:$E$28,"&gt;="&amp;E$3)</f>
        <v>9</v>
      </c>
      <c r="F4" s="12">
        <f>SUMIFS(Tasks!$G$2:$G$28,Tasks!$C$2:$C$28,$A4,Tasks!$D$2:$D$28,"&lt;="&amp;F$3,Tasks!$E$2:$E$28,"&gt;="&amp;F$3)</f>
        <v>9</v>
      </c>
      <c r="G4" s="12">
        <f>SUMIFS(Tasks!$G$2:$G$28,Tasks!$C$2:$C$28,$A4,Tasks!$D$2:$D$28,"&lt;="&amp;G$3,Tasks!$E$2:$E$28,"&gt;="&amp;G$3)</f>
        <v>9</v>
      </c>
      <c r="H4" s="12">
        <f>SUMIFS(Tasks!$G$2:$G$28,Tasks!$C$2:$C$28,$A4,Tasks!$D$2:$D$28,"&lt;="&amp;H$3,Tasks!$E$2:$E$28,"&gt;="&amp;H$3)</f>
        <v>11</v>
      </c>
      <c r="I4" s="12">
        <f>SUMIFS(Tasks!$G$2:$G$28,Tasks!$C$2:$C$28,$A4,Tasks!$D$2:$D$28,"&lt;="&amp;I$3,Tasks!$E$2:$E$28,"&gt;="&amp;I$3)</f>
        <v>11</v>
      </c>
      <c r="J4" s="12">
        <f>SUMIFS(Tasks!$G$2:$G$28,Tasks!$C$2:$C$28,$A4,Tasks!$D$2:$D$28,"&lt;="&amp;J$3,Tasks!$E$2:$E$28,"&gt;="&amp;J$3)</f>
        <v>7</v>
      </c>
      <c r="K4" s="12">
        <f>SUMIFS(Tasks!$G$2:$G$28,Tasks!$C$2:$C$28,$A4,Tasks!$D$2:$D$28,"&lt;="&amp;K$3,Tasks!$E$2:$E$28,"&gt;="&amp;K$3)</f>
        <v>5</v>
      </c>
      <c r="L4" s="12">
        <f>SUMIFS(Tasks!$G$2:$G$28,Tasks!$C$2:$C$28,$A4,Tasks!$D$2:$D$28,"&lt;="&amp;L$3,Tasks!$E$2:$E$28,"&gt;="&amp;L$3)</f>
        <v>0</v>
      </c>
      <c r="M4" s="12">
        <f>SUMIFS(Tasks!$G$2:$G$28,Tasks!$C$2:$C$28,$A4,Tasks!$D$2:$D$28,"&lt;="&amp;M$3,Tasks!$E$2:$E$28,"&gt;="&amp;M$3)</f>
        <v>0</v>
      </c>
    </row>
    <row r="5">
      <c r="A5" s="11" t="str">
        <f>Capacity!A3</f>
        <v>Accelerator Physics</v>
      </c>
      <c r="B5" s="12">
        <f>SUMIFS(Tasks!$G$2:$G$28,Tasks!$C$2:$C$28,$A5,Tasks!$D$2:$D$28,"&lt;="&amp;B$3,Tasks!$E$2:$E$28,"&gt;="&amp;B$3)</f>
        <v>5</v>
      </c>
      <c r="C5" s="12">
        <f>SUMIFS(Tasks!$G$2:$G$28,Tasks!$C$2:$C$28,$A5,Tasks!$D$2:$D$28,"&lt;="&amp;C$3,Tasks!$E$2:$E$28,"&gt;="&amp;C$3)</f>
        <v>5</v>
      </c>
      <c r="D5" s="12">
        <f>SUMIFS(Tasks!$G$2:$G$28,Tasks!$C$2:$C$28,$A5,Tasks!$D$2:$D$28,"&lt;="&amp;D$3,Tasks!$E$2:$E$28,"&gt;="&amp;D$3)</f>
        <v>5</v>
      </c>
      <c r="E5" s="12">
        <f>SUMIFS(Tasks!$G$2:$G$28,Tasks!$C$2:$C$28,$A5,Tasks!$D$2:$D$28,"&lt;="&amp;E$3,Tasks!$E$2:$E$28,"&gt;="&amp;E$3)</f>
        <v>9</v>
      </c>
      <c r="F5" s="12">
        <f>SUMIFS(Tasks!$G$2:$G$28,Tasks!$C$2:$C$28,$A5,Tasks!$D$2:$D$28,"&lt;="&amp;F$3,Tasks!$E$2:$E$28,"&gt;="&amp;F$3)</f>
        <v>9</v>
      </c>
      <c r="G5" s="12">
        <f>SUMIFS(Tasks!$G$2:$G$28,Tasks!$C$2:$C$28,$A5,Tasks!$D$2:$D$28,"&lt;="&amp;G$3,Tasks!$E$2:$E$28,"&gt;="&amp;G$3)</f>
        <v>9</v>
      </c>
      <c r="H5" s="12">
        <f>SUMIFS(Tasks!$G$2:$G$28,Tasks!$C$2:$C$28,$A5,Tasks!$D$2:$D$28,"&lt;="&amp;H$3,Tasks!$E$2:$E$28,"&gt;="&amp;H$3)</f>
        <v>7</v>
      </c>
      <c r="I5" s="12">
        <f>SUMIFS(Tasks!$G$2:$G$28,Tasks!$C$2:$C$28,$A5,Tasks!$D$2:$D$28,"&lt;="&amp;I$3,Tasks!$E$2:$E$28,"&gt;="&amp;I$3)</f>
        <v>7</v>
      </c>
      <c r="J5" s="12">
        <f>SUMIFS(Tasks!$G$2:$G$28,Tasks!$C$2:$C$28,$A5,Tasks!$D$2:$D$28,"&lt;="&amp;J$3,Tasks!$E$2:$E$28,"&gt;="&amp;J$3)</f>
        <v>7</v>
      </c>
      <c r="K5" s="12">
        <f>SUMIFS(Tasks!$G$2:$G$28,Tasks!$C$2:$C$28,$A5,Tasks!$D$2:$D$28,"&lt;="&amp;K$3,Tasks!$E$2:$E$28,"&gt;="&amp;K$3)</f>
        <v>3</v>
      </c>
      <c r="L5" s="12">
        <f>SUMIFS(Tasks!$G$2:$G$28,Tasks!$C$2:$C$28,$A5,Tasks!$D$2:$D$28,"&lt;="&amp;L$3,Tasks!$E$2:$E$28,"&gt;="&amp;L$3)</f>
        <v>3</v>
      </c>
      <c r="M5" s="12">
        <f>SUMIFS(Tasks!$G$2:$G$28,Tasks!$C$2:$C$28,$A5,Tasks!$D$2:$D$28,"&lt;="&amp;M$3,Tasks!$E$2:$E$28,"&gt;="&amp;M$3)</f>
        <v>3</v>
      </c>
    </row>
    <row r="6">
      <c r="A6" s="11" t="str">
        <f>Capacity!A4</f>
        <v>Magnets &amp; Cryogenics</v>
      </c>
      <c r="B6" s="12">
        <f>SUMIFS(Tasks!$G$2:$G$28,Tasks!$C$2:$C$28,$A6,Tasks!$D$2:$D$28,"&lt;="&amp;B$3,Tasks!$E$2:$E$28,"&gt;="&amp;B$3)</f>
        <v>5</v>
      </c>
      <c r="C6" s="12">
        <f>SUMIFS(Tasks!$G$2:$G$28,Tasks!$C$2:$C$28,$A6,Tasks!$D$2:$D$28,"&lt;="&amp;C$3,Tasks!$E$2:$E$28,"&gt;="&amp;C$3)</f>
        <v>5</v>
      </c>
      <c r="D6" s="12">
        <f>SUMIFS(Tasks!$G$2:$G$28,Tasks!$C$2:$C$28,$A6,Tasks!$D$2:$D$28,"&lt;="&amp;D$3,Tasks!$E$2:$E$28,"&gt;="&amp;D$3)</f>
        <v>5</v>
      </c>
      <c r="E6" s="12">
        <f>SUMIFS(Tasks!$G$2:$G$28,Tasks!$C$2:$C$28,$A6,Tasks!$D$2:$D$28,"&lt;="&amp;E$3,Tasks!$E$2:$E$28,"&gt;="&amp;E$3)</f>
        <v>5</v>
      </c>
      <c r="F6" s="12">
        <f>SUMIFS(Tasks!$G$2:$G$28,Tasks!$C$2:$C$28,$A6,Tasks!$D$2:$D$28,"&lt;="&amp;F$3,Tasks!$E$2:$E$28,"&gt;="&amp;F$3)</f>
        <v>9</v>
      </c>
      <c r="G6" s="12">
        <f>SUMIFS(Tasks!$G$2:$G$28,Tasks!$C$2:$C$28,$A6,Tasks!$D$2:$D$28,"&lt;="&amp;G$3,Tasks!$E$2:$E$28,"&gt;="&amp;G$3)</f>
        <v>9</v>
      </c>
      <c r="H6" s="12">
        <f>SUMIFS(Tasks!$G$2:$G$28,Tasks!$C$2:$C$28,$A6,Tasks!$D$2:$D$28,"&lt;="&amp;H$3,Tasks!$E$2:$E$28,"&gt;="&amp;H$3)</f>
        <v>9</v>
      </c>
      <c r="I6" s="12">
        <f>SUMIFS(Tasks!$G$2:$G$28,Tasks!$C$2:$C$28,$A6,Tasks!$D$2:$D$28,"&lt;="&amp;I$3,Tasks!$E$2:$E$28,"&gt;="&amp;I$3)</f>
        <v>9</v>
      </c>
      <c r="J6" s="12">
        <f>SUMIFS(Tasks!$G$2:$G$28,Tasks!$C$2:$C$28,$A6,Tasks!$D$2:$D$28,"&lt;="&amp;J$3,Tasks!$E$2:$E$28,"&gt;="&amp;J$3)</f>
        <v>8</v>
      </c>
      <c r="K6" s="12">
        <f>SUMIFS(Tasks!$G$2:$G$28,Tasks!$C$2:$C$28,$A6,Tasks!$D$2:$D$28,"&lt;="&amp;K$3,Tasks!$E$2:$E$28,"&gt;="&amp;K$3)</f>
        <v>8</v>
      </c>
      <c r="L6" s="12">
        <f>SUMIFS(Tasks!$G$2:$G$28,Tasks!$C$2:$C$28,$A6,Tasks!$D$2:$D$28,"&lt;="&amp;L$3,Tasks!$E$2:$E$28,"&gt;="&amp;L$3)</f>
        <v>8</v>
      </c>
      <c r="M6" s="12">
        <f>SUMIFS(Tasks!$G$2:$G$28,Tasks!$C$2:$C$28,$A6,Tasks!$D$2:$D$28,"&lt;="&amp;M$3,Tasks!$E$2:$E$28,"&gt;="&amp;M$3)</f>
        <v>4</v>
      </c>
    </row>
    <row r="7">
      <c r="A7" s="11" t="str">
        <f>Capacity!A5</f>
        <v>Detectors &amp; Experiments</v>
      </c>
      <c r="B7" s="12">
        <f>SUMIFS(Tasks!$G$2:$G$28,Tasks!$C$2:$C$28,$A7,Tasks!$D$2:$D$28,"&lt;="&amp;B$3,Tasks!$E$2:$E$28,"&gt;="&amp;B$3)</f>
        <v>0</v>
      </c>
      <c r="C7" s="12">
        <f>SUMIFS(Tasks!$G$2:$G$28,Tasks!$C$2:$C$28,$A7,Tasks!$D$2:$D$28,"&lt;="&amp;C$3,Tasks!$E$2:$E$28,"&gt;="&amp;C$3)</f>
        <v>4</v>
      </c>
      <c r="D7" s="12">
        <f>SUMIFS(Tasks!$G$2:$G$28,Tasks!$C$2:$C$28,$A7,Tasks!$D$2:$D$28,"&lt;="&amp;D$3,Tasks!$E$2:$E$28,"&gt;="&amp;D$3)</f>
        <v>4</v>
      </c>
      <c r="E7" s="12">
        <f>SUMIFS(Tasks!$G$2:$G$28,Tasks!$C$2:$C$28,$A7,Tasks!$D$2:$D$28,"&lt;="&amp;E$3,Tasks!$E$2:$E$28,"&gt;="&amp;E$3)</f>
        <v>4</v>
      </c>
      <c r="F7" s="12">
        <f>SUMIFS(Tasks!$G$2:$G$28,Tasks!$C$2:$C$28,$A7,Tasks!$D$2:$D$28,"&lt;="&amp;F$3,Tasks!$E$2:$E$28,"&gt;="&amp;F$3)</f>
        <v>4</v>
      </c>
      <c r="G7" s="12">
        <f>SUMIFS(Tasks!$G$2:$G$28,Tasks!$C$2:$C$28,$A7,Tasks!$D$2:$D$28,"&lt;="&amp;G$3,Tasks!$E$2:$E$28,"&gt;="&amp;G$3)</f>
        <v>8</v>
      </c>
      <c r="H7" s="12">
        <f>SUMIFS(Tasks!$G$2:$G$28,Tasks!$C$2:$C$28,$A7,Tasks!$D$2:$D$28,"&lt;="&amp;H$3,Tasks!$E$2:$E$28,"&gt;="&amp;H$3)</f>
        <v>8</v>
      </c>
      <c r="I7" s="12">
        <f>SUMIFS(Tasks!$G$2:$G$28,Tasks!$C$2:$C$28,$A7,Tasks!$D$2:$D$28,"&lt;="&amp;I$3,Tasks!$E$2:$E$28,"&gt;="&amp;I$3)</f>
        <v>4</v>
      </c>
      <c r="J7" s="12">
        <f>SUMIFS(Tasks!$G$2:$G$28,Tasks!$C$2:$C$28,$A7,Tasks!$D$2:$D$28,"&lt;="&amp;J$3,Tasks!$E$2:$E$28,"&gt;="&amp;J$3)</f>
        <v>4</v>
      </c>
      <c r="K7" s="12">
        <f>SUMIFS(Tasks!$G$2:$G$28,Tasks!$C$2:$C$28,$A7,Tasks!$D$2:$D$28,"&lt;="&amp;K$3,Tasks!$E$2:$E$28,"&gt;="&amp;K$3)</f>
        <v>4</v>
      </c>
      <c r="L7" s="12">
        <f>SUMIFS(Tasks!$G$2:$G$28,Tasks!$C$2:$C$28,$A7,Tasks!$D$2:$D$28,"&lt;="&amp;L$3,Tasks!$E$2:$E$28,"&gt;="&amp;L$3)</f>
        <v>4</v>
      </c>
      <c r="M7" s="12">
        <f>SUMIFS(Tasks!$G$2:$G$28,Tasks!$C$2:$C$28,$A7,Tasks!$D$2:$D$28,"&lt;="&amp;M$3,Tasks!$E$2:$E$28,"&gt;="&amp;M$3)</f>
        <v>4</v>
      </c>
    </row>
    <row r="8">
      <c r="A8" s="11" t="str">
        <f>Capacity!A6</f>
        <v>Planning &amp; Resources Office</v>
      </c>
      <c r="B8" s="12">
        <f>SUMIFS(Tasks!$G$2:$G$28,Tasks!$C$2:$C$28,$A8,Tasks!$D$2:$D$28,"&lt;="&amp;B$3,Tasks!$E$2:$E$28,"&gt;="&amp;B$3)</f>
        <v>3</v>
      </c>
      <c r="C8" s="12">
        <f>SUMIFS(Tasks!$G$2:$G$28,Tasks!$C$2:$C$28,$A8,Tasks!$D$2:$D$28,"&lt;="&amp;C$3,Tasks!$E$2:$E$28,"&gt;="&amp;C$3)</f>
        <v>6</v>
      </c>
      <c r="D8" s="12">
        <f>SUMIFS(Tasks!$G$2:$G$28,Tasks!$C$2:$C$28,$A8,Tasks!$D$2:$D$28,"&lt;="&amp;D$3,Tasks!$E$2:$E$28,"&gt;="&amp;D$3)</f>
        <v>6</v>
      </c>
      <c r="E8" s="12">
        <f>SUMIFS(Tasks!$G$2:$G$28,Tasks!$C$2:$C$28,$A8,Tasks!$D$2:$D$28,"&lt;="&amp;E$3,Tasks!$E$2:$E$28,"&gt;="&amp;E$3)</f>
        <v>5</v>
      </c>
      <c r="F8" s="12">
        <f>SUMIFS(Tasks!$G$2:$G$28,Tasks!$C$2:$C$28,$A8,Tasks!$D$2:$D$28,"&lt;="&amp;F$3,Tasks!$E$2:$E$28,"&gt;="&amp;F$3)</f>
        <v>5</v>
      </c>
      <c r="G8" s="12">
        <f>SUMIFS(Tasks!$G$2:$G$28,Tasks!$C$2:$C$28,$A8,Tasks!$D$2:$D$28,"&lt;="&amp;G$3,Tasks!$E$2:$E$28,"&gt;="&amp;G$3)</f>
        <v>5</v>
      </c>
      <c r="H8" s="12">
        <f>SUMIFS(Tasks!$G$2:$G$28,Tasks!$C$2:$C$28,$A8,Tasks!$D$2:$D$28,"&lt;="&amp;H$3,Tasks!$E$2:$E$28,"&gt;="&amp;H$3)</f>
        <v>2</v>
      </c>
      <c r="I8" s="12">
        <f>SUMIFS(Tasks!$G$2:$G$28,Tasks!$C$2:$C$28,$A8,Tasks!$D$2:$D$28,"&lt;="&amp;I$3,Tasks!$E$2:$E$28,"&gt;="&amp;I$3)</f>
        <v>4</v>
      </c>
      <c r="J8" s="12">
        <f>SUMIFS(Tasks!$G$2:$G$28,Tasks!$C$2:$C$28,$A8,Tasks!$D$2:$D$28,"&lt;="&amp;J$3,Tasks!$E$2:$E$28,"&gt;="&amp;J$3)</f>
        <v>4</v>
      </c>
      <c r="K8" s="12">
        <f>SUMIFS(Tasks!$G$2:$G$28,Tasks!$C$2:$C$28,$A8,Tasks!$D$2:$D$28,"&lt;="&amp;K$3,Tasks!$E$2:$E$28,"&gt;="&amp;K$3)</f>
        <v>4</v>
      </c>
      <c r="L8" s="12">
        <f>SUMIFS(Tasks!$G$2:$G$28,Tasks!$C$2:$C$28,$A8,Tasks!$D$2:$D$28,"&lt;="&amp;L$3,Tasks!$E$2:$E$28,"&gt;="&amp;L$3)</f>
        <v>4</v>
      </c>
      <c r="M8" s="12">
        <f>SUMIFS(Tasks!$G$2:$G$28,Tasks!$C$2:$C$28,$A8,Tasks!$D$2:$D$28,"&lt;="&amp;M$3,Tasks!$E$2:$E$28,"&gt;="&amp;M$3)</f>
        <v>4</v>
      </c>
    </row>
    <row r="10">
      <c r="A10" s="6" t="s">
        <v>96</v>
      </c>
    </row>
    <row r="11" ht="30.0" customHeight="1">
      <c r="A11" s="4" t="s">
        <v>11</v>
      </c>
      <c r="B11" s="4" t="s">
        <v>25</v>
      </c>
      <c r="C11" s="4" t="s">
        <v>26</v>
      </c>
      <c r="D11" s="4" t="s">
        <v>27</v>
      </c>
      <c r="E11" s="4" t="s">
        <v>28</v>
      </c>
      <c r="F11" s="4" t="s">
        <v>29</v>
      </c>
      <c r="G11" s="4" t="s">
        <v>31</v>
      </c>
      <c r="H11" s="4" t="s">
        <v>32</v>
      </c>
      <c r="I11" s="4" t="s">
        <v>33</v>
      </c>
      <c r="J11" s="4" t="s">
        <v>35</v>
      </c>
      <c r="K11" s="4" t="s">
        <v>36</v>
      </c>
      <c r="L11" s="4" t="s">
        <v>38</v>
      </c>
      <c r="M11" s="4" t="s">
        <v>40</v>
      </c>
      <c r="N11" s="4" t="s">
        <v>97</v>
      </c>
      <c r="O11" s="4" t="s">
        <v>98</v>
      </c>
      <c r="P11" s="4" t="s">
        <v>99</v>
      </c>
    </row>
    <row r="12">
      <c r="A12" s="11" t="str">
        <f>Capacity!A2</f>
        <v>Civil Engineering &amp; Siting</v>
      </c>
      <c r="B12" s="19">
        <f t="array" ref="B12">IFERROR(B4/INDEX(Capacity!$C$2:$C$6,MATCH($A12,Capacity!$A$2:$A$6,0)),0)</f>
        <v>0.5</v>
      </c>
      <c r="C12" s="19">
        <f t="array" ref="C12">IFERROR(C4/INDEX(Capacity!$C$2:$C$6,MATCH($A12,Capacity!$A$2:$A$6,0)),0)</f>
        <v>0.5</v>
      </c>
      <c r="D12" s="19">
        <f t="array" ref="D12">IFERROR(D4/INDEX(Capacity!$C$2:$C$6,MATCH($A12,Capacity!$A$2:$A$6,0)),0)</f>
        <v>0.9</v>
      </c>
      <c r="E12" s="19">
        <f t="array" ref="E12">IFERROR(E4/INDEX(Capacity!$C$2:$C$6,MATCH($A12,Capacity!$A$2:$A$6,0)),0)</f>
        <v>0.9</v>
      </c>
      <c r="F12" s="19">
        <f t="array" ref="F12">IFERROR(F4/INDEX(Capacity!$C$2:$C$6,MATCH($A12,Capacity!$A$2:$A$6,0)),0)</f>
        <v>0.9</v>
      </c>
      <c r="G12" s="19">
        <f t="array" ref="G12">IFERROR(G4/INDEX(Capacity!$C$2:$C$6,MATCH($A12,Capacity!$A$2:$A$6,0)),0)</f>
        <v>0.9</v>
      </c>
      <c r="H12" s="19">
        <f t="array" ref="H12">IFERROR(H4/INDEX(Capacity!$C$2:$C$6,MATCH($A12,Capacity!$A$2:$A$6,0)),0)</f>
        <v>1.1</v>
      </c>
      <c r="I12" s="19">
        <f t="array" ref="I12">IFERROR(I4/INDEX(Capacity!$C$2:$C$6,MATCH($A12,Capacity!$A$2:$A$6,0)),0)</f>
        <v>1.1</v>
      </c>
      <c r="J12" s="19">
        <f t="array" ref="J12">IFERROR(J4/INDEX(Capacity!$C$2:$C$6,MATCH($A12,Capacity!$A$2:$A$6,0)),0)</f>
        <v>0.7</v>
      </c>
      <c r="K12" s="19">
        <f t="array" ref="K12">IFERROR(K4/INDEX(Capacity!$C$2:$C$6,MATCH($A12,Capacity!$A$2:$A$6,0)),0)</f>
        <v>0.5</v>
      </c>
      <c r="L12" s="19">
        <f t="array" ref="L12">IFERROR(L4/INDEX(Capacity!$C$2:$C$6,MATCH($A12,Capacity!$A$2:$A$6,0)),0)</f>
        <v>0</v>
      </c>
      <c r="M12" s="19">
        <f t="array" ref="M12">IFERROR(M4/INDEX(Capacity!$C$2:$C$6,MATCH($A12,Capacity!$A$2:$A$6,0)),0)</f>
        <v>0</v>
      </c>
      <c r="N12" s="20">
        <f t="shared" ref="N12:N16" si="1">MAX(B12:M12)</f>
        <v>1.1</v>
      </c>
      <c r="O12" s="7">
        <f t="shared" ref="O12:O16" si="2">COUNTIF(B12:M12,"&gt;1")</f>
        <v>2</v>
      </c>
      <c r="P12" s="7">
        <f t="shared" ref="P12:P16" si="3">COUNTIFS(B12:M12,"&gt;=0.85",B12:M12,"&lt;=1")</f>
        <v>4</v>
      </c>
    </row>
    <row r="13">
      <c r="A13" s="11" t="str">
        <f>Capacity!A3</f>
        <v>Accelerator Physics</v>
      </c>
      <c r="B13" s="19">
        <f t="array" ref="B13">IFERROR(B5/INDEX(Capacity!$C$2:$C$6,MATCH($A13,Capacity!$A$2:$A$6,0)),0)</f>
        <v>0.625</v>
      </c>
      <c r="C13" s="19">
        <f t="array" ref="C13">IFERROR(C5/INDEX(Capacity!$C$2:$C$6,MATCH($A13,Capacity!$A$2:$A$6,0)),0)</f>
        <v>0.625</v>
      </c>
      <c r="D13" s="19">
        <f t="array" ref="D13">IFERROR(D5/INDEX(Capacity!$C$2:$C$6,MATCH($A13,Capacity!$A$2:$A$6,0)),0)</f>
        <v>0.625</v>
      </c>
      <c r="E13" s="19">
        <f t="array" ref="E13">IFERROR(E5/INDEX(Capacity!$C$2:$C$6,MATCH($A13,Capacity!$A$2:$A$6,0)),0)</f>
        <v>1.125</v>
      </c>
      <c r="F13" s="19">
        <f t="array" ref="F13">IFERROR(F5/INDEX(Capacity!$C$2:$C$6,MATCH($A13,Capacity!$A$2:$A$6,0)),0)</f>
        <v>1.125</v>
      </c>
      <c r="G13" s="19">
        <f t="array" ref="G13">IFERROR(G5/INDEX(Capacity!$C$2:$C$6,MATCH($A13,Capacity!$A$2:$A$6,0)),0)</f>
        <v>1.125</v>
      </c>
      <c r="H13" s="19">
        <f t="array" ref="H13">IFERROR(H5/INDEX(Capacity!$C$2:$C$6,MATCH($A13,Capacity!$A$2:$A$6,0)),0)</f>
        <v>0.875</v>
      </c>
      <c r="I13" s="19">
        <f t="array" ref="I13">IFERROR(I5/INDEX(Capacity!$C$2:$C$6,MATCH($A13,Capacity!$A$2:$A$6,0)),0)</f>
        <v>0.875</v>
      </c>
      <c r="J13" s="19">
        <f t="array" ref="J13">IFERROR(J5/INDEX(Capacity!$C$2:$C$6,MATCH($A13,Capacity!$A$2:$A$6,0)),0)</f>
        <v>0.875</v>
      </c>
      <c r="K13" s="19">
        <f t="array" ref="K13">IFERROR(K5/INDEX(Capacity!$C$2:$C$6,MATCH($A13,Capacity!$A$2:$A$6,0)),0)</f>
        <v>0.375</v>
      </c>
      <c r="L13" s="19">
        <f t="array" ref="L13">IFERROR(L5/INDEX(Capacity!$C$2:$C$6,MATCH($A13,Capacity!$A$2:$A$6,0)),0)</f>
        <v>0.375</v>
      </c>
      <c r="M13" s="19">
        <f t="array" ref="M13">IFERROR(M5/INDEX(Capacity!$C$2:$C$6,MATCH($A13,Capacity!$A$2:$A$6,0)),0)</f>
        <v>0.375</v>
      </c>
      <c r="N13" s="20">
        <f t="shared" si="1"/>
        <v>1.125</v>
      </c>
      <c r="O13" s="7">
        <f t="shared" si="2"/>
        <v>3</v>
      </c>
      <c r="P13" s="7">
        <f t="shared" si="3"/>
        <v>3</v>
      </c>
    </row>
    <row r="14">
      <c r="A14" s="11" t="str">
        <f>Capacity!A4</f>
        <v>Magnets &amp; Cryogenics</v>
      </c>
      <c r="B14" s="19">
        <f t="array" ref="B14">IFERROR(B6/INDEX(Capacity!$C$2:$C$6,MATCH($A14,Capacity!$A$2:$A$6,0)),0)</f>
        <v>0.7142857143</v>
      </c>
      <c r="C14" s="19">
        <f t="array" ref="C14">IFERROR(C6/INDEX(Capacity!$C$2:$C$6,MATCH($A14,Capacity!$A$2:$A$6,0)),0)</f>
        <v>0.7142857143</v>
      </c>
      <c r="D14" s="19">
        <f t="array" ref="D14">IFERROR(D6/INDEX(Capacity!$C$2:$C$6,MATCH($A14,Capacity!$A$2:$A$6,0)),0)</f>
        <v>0.7142857143</v>
      </c>
      <c r="E14" s="19">
        <f t="array" ref="E14">IFERROR(E6/INDEX(Capacity!$C$2:$C$6,MATCH($A14,Capacity!$A$2:$A$6,0)),0)</f>
        <v>0.7142857143</v>
      </c>
      <c r="F14" s="19">
        <f t="array" ref="F14">IFERROR(F6/INDEX(Capacity!$C$2:$C$6,MATCH($A14,Capacity!$A$2:$A$6,0)),0)</f>
        <v>1.285714286</v>
      </c>
      <c r="G14" s="19">
        <f t="array" ref="G14">IFERROR(G6/INDEX(Capacity!$C$2:$C$6,MATCH($A14,Capacity!$A$2:$A$6,0)),0)</f>
        <v>1.285714286</v>
      </c>
      <c r="H14" s="19">
        <f t="array" ref="H14">IFERROR(H6/INDEX(Capacity!$C$2:$C$6,MATCH($A14,Capacity!$A$2:$A$6,0)),0)</f>
        <v>1.285714286</v>
      </c>
      <c r="I14" s="19">
        <f t="array" ref="I14">IFERROR(I6/INDEX(Capacity!$C$2:$C$6,MATCH($A14,Capacity!$A$2:$A$6,0)),0)</f>
        <v>1.285714286</v>
      </c>
      <c r="J14" s="19">
        <f t="array" ref="J14">IFERROR(J6/INDEX(Capacity!$C$2:$C$6,MATCH($A14,Capacity!$A$2:$A$6,0)),0)</f>
        <v>1.142857143</v>
      </c>
      <c r="K14" s="19">
        <f t="array" ref="K14">IFERROR(K6/INDEX(Capacity!$C$2:$C$6,MATCH($A14,Capacity!$A$2:$A$6,0)),0)</f>
        <v>1.142857143</v>
      </c>
      <c r="L14" s="19">
        <f t="array" ref="L14">IFERROR(L6/INDEX(Capacity!$C$2:$C$6,MATCH($A14,Capacity!$A$2:$A$6,0)),0)</f>
        <v>1.142857143</v>
      </c>
      <c r="M14" s="19">
        <f t="array" ref="M14">IFERROR(M6/INDEX(Capacity!$C$2:$C$6,MATCH($A14,Capacity!$A$2:$A$6,0)),0)</f>
        <v>0.5714285714</v>
      </c>
      <c r="N14" s="20">
        <f t="shared" si="1"/>
        <v>1.285714286</v>
      </c>
      <c r="O14" s="7">
        <f t="shared" si="2"/>
        <v>7</v>
      </c>
      <c r="P14" s="7">
        <f t="shared" si="3"/>
        <v>0</v>
      </c>
    </row>
    <row r="15">
      <c r="A15" s="11" t="str">
        <f>Capacity!A5</f>
        <v>Detectors &amp; Experiments</v>
      </c>
      <c r="B15" s="19">
        <f t="array" ref="B15">IFERROR(B7/INDEX(Capacity!$C$2:$C$6,MATCH($A15,Capacity!$A$2:$A$6,0)),0)</f>
        <v>0</v>
      </c>
      <c r="C15" s="19">
        <f t="array" ref="C15">IFERROR(C7/INDEX(Capacity!$C$2:$C$6,MATCH($A15,Capacity!$A$2:$A$6,0)),0)</f>
        <v>0.6666666667</v>
      </c>
      <c r="D15" s="19">
        <f t="array" ref="D15">IFERROR(D7/INDEX(Capacity!$C$2:$C$6,MATCH($A15,Capacity!$A$2:$A$6,0)),0)</f>
        <v>0.6666666667</v>
      </c>
      <c r="E15" s="19">
        <f t="array" ref="E15">IFERROR(E7/INDEX(Capacity!$C$2:$C$6,MATCH($A15,Capacity!$A$2:$A$6,0)),0)</f>
        <v>0.6666666667</v>
      </c>
      <c r="F15" s="19">
        <f t="array" ref="F15">IFERROR(F7/INDEX(Capacity!$C$2:$C$6,MATCH($A15,Capacity!$A$2:$A$6,0)),0)</f>
        <v>0.6666666667</v>
      </c>
      <c r="G15" s="19">
        <f t="array" ref="G15">IFERROR(G7/INDEX(Capacity!$C$2:$C$6,MATCH($A15,Capacity!$A$2:$A$6,0)),0)</f>
        <v>1.333333333</v>
      </c>
      <c r="H15" s="19">
        <f t="array" ref="H15">IFERROR(H7/INDEX(Capacity!$C$2:$C$6,MATCH($A15,Capacity!$A$2:$A$6,0)),0)</f>
        <v>1.333333333</v>
      </c>
      <c r="I15" s="19">
        <f t="array" ref="I15">IFERROR(I7/INDEX(Capacity!$C$2:$C$6,MATCH($A15,Capacity!$A$2:$A$6,0)),0)</f>
        <v>0.6666666667</v>
      </c>
      <c r="J15" s="19">
        <f t="array" ref="J15">IFERROR(J7/INDEX(Capacity!$C$2:$C$6,MATCH($A15,Capacity!$A$2:$A$6,0)),0)</f>
        <v>0.6666666667</v>
      </c>
      <c r="K15" s="19">
        <f t="array" ref="K15">IFERROR(K7/INDEX(Capacity!$C$2:$C$6,MATCH($A15,Capacity!$A$2:$A$6,0)),0)</f>
        <v>0.6666666667</v>
      </c>
      <c r="L15" s="19">
        <f t="array" ref="L15">IFERROR(L7/INDEX(Capacity!$C$2:$C$6,MATCH($A15,Capacity!$A$2:$A$6,0)),0)</f>
        <v>0.6666666667</v>
      </c>
      <c r="M15" s="19">
        <f t="array" ref="M15">IFERROR(M7/INDEX(Capacity!$C$2:$C$6,MATCH($A15,Capacity!$A$2:$A$6,0)),0)</f>
        <v>0.6666666667</v>
      </c>
      <c r="N15" s="20">
        <f t="shared" si="1"/>
        <v>1.333333333</v>
      </c>
      <c r="O15" s="7">
        <f t="shared" si="2"/>
        <v>2</v>
      </c>
      <c r="P15" s="7">
        <f t="shared" si="3"/>
        <v>0</v>
      </c>
    </row>
    <row r="16">
      <c r="A16" s="11" t="str">
        <f>Capacity!A6</f>
        <v>Planning &amp; Resources Office</v>
      </c>
      <c r="B16" s="19">
        <f t="array" ref="B16">IFERROR(B8/INDEX(Capacity!$C$2:$C$6,MATCH($A16,Capacity!$A$2:$A$6,0)),0)</f>
        <v>0.6</v>
      </c>
      <c r="C16" s="19">
        <f t="array" ref="C16">IFERROR(C8/INDEX(Capacity!$C$2:$C$6,MATCH($A16,Capacity!$A$2:$A$6,0)),0)</f>
        <v>1.2</v>
      </c>
      <c r="D16" s="19">
        <f t="array" ref="D16">IFERROR(D8/INDEX(Capacity!$C$2:$C$6,MATCH($A16,Capacity!$A$2:$A$6,0)),0)</f>
        <v>1.2</v>
      </c>
      <c r="E16" s="19">
        <f t="array" ref="E16">IFERROR(E8/INDEX(Capacity!$C$2:$C$6,MATCH($A16,Capacity!$A$2:$A$6,0)),0)</f>
        <v>1</v>
      </c>
      <c r="F16" s="19">
        <f t="array" ref="F16">IFERROR(F8/INDEX(Capacity!$C$2:$C$6,MATCH($A16,Capacity!$A$2:$A$6,0)),0)</f>
        <v>1</v>
      </c>
      <c r="G16" s="19">
        <f t="array" ref="G16">IFERROR(G8/INDEX(Capacity!$C$2:$C$6,MATCH($A16,Capacity!$A$2:$A$6,0)),0)</f>
        <v>1</v>
      </c>
      <c r="H16" s="19">
        <f t="array" ref="H16">IFERROR(H8/INDEX(Capacity!$C$2:$C$6,MATCH($A16,Capacity!$A$2:$A$6,0)),0)</f>
        <v>0.4</v>
      </c>
      <c r="I16" s="19">
        <f t="array" ref="I16">IFERROR(I8/INDEX(Capacity!$C$2:$C$6,MATCH($A16,Capacity!$A$2:$A$6,0)),0)</f>
        <v>0.8</v>
      </c>
      <c r="J16" s="19">
        <f t="array" ref="J16">IFERROR(J8/INDEX(Capacity!$C$2:$C$6,MATCH($A16,Capacity!$A$2:$A$6,0)),0)</f>
        <v>0.8</v>
      </c>
      <c r="K16" s="19">
        <f t="array" ref="K16">IFERROR(K8/INDEX(Capacity!$C$2:$C$6,MATCH($A16,Capacity!$A$2:$A$6,0)),0)</f>
        <v>0.8</v>
      </c>
      <c r="L16" s="19">
        <f t="array" ref="L16">IFERROR(L8/INDEX(Capacity!$C$2:$C$6,MATCH($A16,Capacity!$A$2:$A$6,0)),0)</f>
        <v>0.8</v>
      </c>
      <c r="M16" s="19">
        <f t="array" ref="M16">IFERROR(M8/INDEX(Capacity!$C$2:$C$6,MATCH($A16,Capacity!$A$2:$A$6,0)),0)</f>
        <v>0.8</v>
      </c>
      <c r="N16" s="20">
        <f t="shared" si="1"/>
        <v>1.2</v>
      </c>
      <c r="O16" s="7">
        <f t="shared" si="2"/>
        <v>2</v>
      </c>
      <c r="P16" s="7">
        <f t="shared" si="3"/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2:M16">
    <cfRule type="cellIs" dxfId="2" priority="1" operator="greaterThan">
      <formula>1</formula>
    </cfRule>
  </conditionalFormatting>
  <conditionalFormatting sqref="B12:M16">
    <cfRule type="cellIs" dxfId="3" priority="2" operator="between">
      <formula>0.85</formula>
      <formula>1</formula>
    </cfRule>
  </conditionalFormatting>
  <conditionalFormatting sqref="B12:M16">
    <cfRule type="cellIs" dxfId="0" priority="3" operator="between">
      <formula>0.0001</formula>
      <formula>0.8499</formula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4.0"/>
    <col customWidth="1" min="3" max="3" width="12.0"/>
    <col customWidth="1" min="4" max="26" width="8.71"/>
  </cols>
  <sheetData>
    <row r="1">
      <c r="A1" s="4" t="s">
        <v>85</v>
      </c>
      <c r="B1" s="4" t="s">
        <v>86</v>
      </c>
      <c r="C1" s="4" t="s">
        <v>87</v>
      </c>
    </row>
    <row r="2">
      <c r="A2" s="7" t="s">
        <v>88</v>
      </c>
      <c r="B2" s="7">
        <f>COUNTIFS(Tasks!A2:A28,"&lt;&gt;",Tasks!C2:C28,"")</f>
        <v>0</v>
      </c>
      <c r="C2" s="17" t="str">
        <f t="shared" ref="C2:C7" si="1">IF(B2=0,"OK","CHECK")</f>
        <v>OK</v>
      </c>
    </row>
    <row r="3">
      <c r="A3" s="7" t="s">
        <v>91</v>
      </c>
      <c r="B3" s="7">
        <f>SUMPRODUCT((Tasks!D2:D28&lt;&gt;"")*(Tasks!E2:E28&lt;&gt;"")*(Tasks!E2:E28&lt;Tasks!D2:D28))</f>
        <v>0</v>
      </c>
      <c r="C3" s="17" t="str">
        <f t="shared" si="1"/>
        <v>OK</v>
      </c>
    </row>
    <row r="4">
      <c r="A4" s="7" t="s">
        <v>92</v>
      </c>
      <c r="B4" s="7">
        <f t="array" ref="B4">SUMPRODUCT((Tasks!A2:A28&lt;&gt;"")*(COUNTIF(Tasks!A2:A28,Tasks!A2:A28)&gt;1))</f>
        <v>0</v>
      </c>
      <c r="C4" s="17" t="str">
        <f t="shared" si="1"/>
        <v>OK</v>
      </c>
    </row>
    <row r="5">
      <c r="A5" s="7" t="s">
        <v>93</v>
      </c>
      <c r="B5" s="7">
        <f>SUMPRODUCT((Tasks!D2:D28&lt;&gt;"")*((Tasks!D2:D28&lt;1)+(Tasks!E2:E28&gt;12)&gt;0))</f>
        <v>0</v>
      </c>
      <c r="C5" s="17" t="str">
        <f t="shared" si="1"/>
        <v>OK</v>
      </c>
    </row>
    <row r="6">
      <c r="A6" s="7" t="s">
        <v>94</v>
      </c>
      <c r="B6" s="7">
        <f t="array" ref="B6">SUMPRODUCT((Tasks!C2:C28&lt;&gt;"")*(COUNTIF(Capacity!A2:A6,Tasks!C2:C28)=0))</f>
        <v>0</v>
      </c>
      <c r="C6" s="17" t="str">
        <f t="shared" si="1"/>
        <v>OK</v>
      </c>
    </row>
    <row r="7">
      <c r="A7" s="7" t="s">
        <v>95</v>
      </c>
      <c r="B7" s="7">
        <f>COUNTIFS(Tasks!A2:A28,"&lt;&gt;",Tasks!F2:F28,"")</f>
        <v>0</v>
      </c>
      <c r="C7" s="17" t="str">
        <f t="shared" si="1"/>
        <v>OK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:C7">
    <cfRule type="cellIs" dxfId="0" priority="1" operator="equal">
      <formula>"OK"</formula>
    </cfRule>
  </conditionalFormatting>
  <conditionalFormatting sqref="C2:C7">
    <cfRule type="cellIs" dxfId="1" priority="2" operator="equal">
      <formula>"CHECK"</formula>
    </cfRule>
  </conditionalFormatting>
  <printOptions/>
  <pageMargins bottom="1.0" footer="0.0" header="0.0" left="0.75" right="0.75" top="1.0"/>
  <pageSetup orientation="landscape"/>
  <drawing r:id="rId1"/>
</worksheet>
</file>